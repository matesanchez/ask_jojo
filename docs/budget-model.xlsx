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ssumptions" sheetId="2" state="visible" r:id="rId4"/>
    <sheet name="Weekly_Sp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<sst xmlns="http://schemas.openxmlformats.org/spreadsheetml/2006/main" count="86" uniqueCount="82">
  <si>
    <t xml:space="preserve">JoJo Bot v2.0 — Claude API Budget Model</t>
  </si>
  <si>
    <t xml:space="preserve">Purpose</t>
  </si>
  <si>
    <t xml:space="preserve">Estimate weekly Claude API spend for Jojo Bot v2.0 at three corpus sizes: 100 docs (Protein Sciences early), 500 docs (Protein Sciences full), 2000 docs (Nurix-wide). Covers ingest, compile (absorb loop), Q&amp;A, and lint workstreams separately, plus one-time bootstrap costs.</t>
  </si>
  <si>
    <t xml:space="preserve">How to use</t>
  </si>
  <si>
    <t xml:space="preserve">All inputs live on the Assumptions sheet (blue text). Change pricing, token-per-unit, or operating assumptions there and the Weekly_Spend sheet recomputes. Per-scenario inputs (corpus size, queries/week) live at the top of Weekly_Spend itself so you can run what-if analyses without leaving that sheet.</t>
  </si>
  <si>
    <t xml:space="preserve">Key caveats</t>
  </si>
  <si>
    <t xml:space="preserve">1. Pricing values are PLACEHOLDER estimates until Mateo confirms against the live Anthropic pricing page for Haiku 4.5 / Sonnet 4.6 / Opus 4.6. Cells highlighted yellow on Assumptions need to be updated before anyone takes these numbers to a budget meeting.</t>
  </si>
  <si>
    <t xml:space="preserve">2. The weekly Opus contradiction sweep assumes a mid-corpus sample (~200K tokens of context). At 2000-doc scale the sweep will need chunking or prompt-caching to fit; raise the 'contradiction sweeps per week' assumption or the per-run input tokens accordingly.</t>
  </si>
  <si>
    <t xml:space="preserve">3. Q&amp;A volume (queries per week) is the single largest swing factor. Defaults scale with corpus (50 / 150 / 500) on the assumption that adoption grows alongside coverage. Update per your actual rollout plan.</t>
  </si>
  <si>
    <t xml:space="preserve">4. Incremental rates (2% of corpus changes per week) come from PLAN.md §11 risk model. That is a rule-of-thumb, not measured. Replace with real churn data once Phase 1 ingest has run for ~4 weeks.</t>
  </si>
  <si>
    <t xml:space="preserve">Color coding (Assumptions sheet)</t>
  </si>
  <si>
    <t xml:space="preserve">  Blue text     = hardcoded input you can change</t>
  </si>
  <si>
    <t xml:space="preserve">  Black text    = formula</t>
  </si>
  <si>
    <t xml:space="preserve">  Green text    = pulls from another sheet in this workbook</t>
  </si>
  <si>
    <t xml:space="preserve">  Yellow fill   = key assumption that needs attention (pricing TBC)</t>
  </si>
  <si>
    <t xml:space="preserve">References</t>
  </si>
  <si>
    <t xml:space="preserve">  ask_jojo/PLAN.md §4 D8 — model routing and tiering</t>
  </si>
  <si>
    <t xml:space="preserve">  ask_jojo/PLAN.md §11 — risks including cost variance</t>
  </si>
  <si>
    <t xml:space="preserve">  ask_jojo/schema/CLAUDE.md §11 — per-workstream model policy</t>
  </si>
  <si>
    <t xml:space="preserve">  https://www.anthropic.com/pricing — authoritative pricing</t>
  </si>
  <si>
    <t xml:space="preserve">Last updated: 2026-04-22 (Phase 0 scaffold pass)</t>
  </si>
  <si>
    <t xml:space="preserve">Assumptions — all inputs live here</t>
  </si>
  <si>
    <t xml:space="preserve">Model pricing (USD per 1,000,000 tokens)</t>
  </si>
  <si>
    <t xml:space="preserve">Model</t>
  </si>
  <si>
    <t xml:space="preserve">Input $/M</t>
  </si>
  <si>
    <t xml:space="preserve">Output $/M</t>
  </si>
  <si>
    <t xml:space="preserve">Notes</t>
  </si>
  <si>
    <t xml:space="preserve">Claude Haiku 4.5</t>
  </si>
  <si>
    <t xml:space="preserve">Cheap tier. Ingest summaries, light lint.</t>
  </si>
  <si>
    <t xml:space="preserve">Claude Sonnet 4.6</t>
  </si>
  <si>
    <t xml:space="preserve">Default tier. Compile, Q&amp;A, nightly lint.</t>
  </si>
  <si>
    <t xml:space="preserve">Claude Opus 4.6</t>
  </si>
  <si>
    <t xml:space="preserve">Heavy tier. Weekly contradiction sweep.</t>
  </si>
  <si>
    <t xml:space="preserve">Per-unit token usage</t>
  </si>
  <si>
    <t xml:space="preserve">Workstream</t>
  </si>
  <si>
    <t xml:space="preserve">Unit</t>
  </si>
  <si>
    <t xml:space="preserve">Input tokens</t>
  </si>
  <si>
    <t xml:space="preserve">Output tokens</t>
  </si>
  <si>
    <t xml:space="preserve">Ingest summary</t>
  </si>
  <si>
    <t xml:space="preserve">per raw file</t>
  </si>
  <si>
    <t xml:space="preserve">Haiku</t>
  </si>
  <si>
    <t xml:space="preserve">Compile (absorb loop)</t>
  </si>
  <si>
    <t xml:space="preserve">per raw entry (plan+write+verify+link)</t>
  </si>
  <si>
    <t xml:space="preserve">Sonnet</t>
  </si>
  <si>
    <t xml:space="preserve">Q&amp;A (router + index-first)</t>
  </si>
  <si>
    <t xml:space="preserve">per user query</t>
  </si>
  <si>
    <t xml:space="preserve">Nightly lint</t>
  </si>
  <si>
    <t xml:space="preserve">per wiki page per night</t>
  </si>
  <si>
    <t xml:space="preserve">Weekly contradiction sweep</t>
  </si>
  <si>
    <t xml:space="preserve">per run (whole-corpus sample)</t>
  </si>
  <si>
    <t xml:space="preserve">Opus</t>
  </si>
  <si>
    <t xml:space="preserve">Operating assumptions</t>
  </si>
  <si>
    <t xml:space="preserve">Wiki pages per raw doc (ratio)</t>
  </si>
  <si>
    <t xml:space="preserve">One program or target often spans several raw files.</t>
  </si>
  <si>
    <t xml:space="preserve">Weekly incremental change rate</t>
  </si>
  <si>
    <t xml:space="preserve">Per PLAN.md §11 — ~2% of corpus changes per week on average.</t>
  </si>
  <si>
    <t xml:space="preserve">Nightly lint runs per week</t>
  </si>
  <si>
    <t xml:space="preserve">Default: every night.</t>
  </si>
  <si>
    <t xml:space="preserve">Contradiction sweeps per week</t>
  </si>
  <si>
    <t xml:space="preserve">Opus-tier. Raise to 2–4 at 2000-doc scale.</t>
  </si>
  <si>
    <t xml:space="preserve">Weekly Running Cost + One-Time Bootstrap Cost</t>
  </si>
  <si>
    <t xml:space="preserve">Scenario</t>
  </si>
  <si>
    <t xml:space="preserve">Protein Sciences early</t>
  </si>
  <si>
    <t xml:space="preserve">Protein Sciences full</t>
  </si>
  <si>
    <t xml:space="preserve">Nurix-wide</t>
  </si>
  <si>
    <t xml:space="preserve">Raw corpus size (docs)</t>
  </si>
  <si>
    <t xml:space="preserve">Wiki pages (derived from ratio)</t>
  </si>
  <si>
    <t xml:space="preserve">Incremental raw docs / week</t>
  </si>
  <si>
    <t xml:space="preserve">Queries / week (assumed)</t>
  </si>
  <si>
    <t xml:space="preserve">Weekly cost by workstream (USD)</t>
  </si>
  <si>
    <t xml:space="preserve">Ingest summaries (Haiku)</t>
  </si>
  <si>
    <t xml:space="preserve">Compile / absorb loop (Sonnet)</t>
  </si>
  <si>
    <t xml:space="preserve">Q&amp;A (Sonnet)</t>
  </si>
  <si>
    <t xml:space="preserve">Nightly lint (Sonnet)</t>
  </si>
  <si>
    <t xml:space="preserve">Contradiction sweep (Opus)</t>
  </si>
  <si>
    <t xml:space="preserve">TOTAL weekly spend</t>
  </si>
  <si>
    <t xml:space="preserve">Annualized (× 52 weeks)</t>
  </si>
  <si>
    <t xml:space="preserve">One-time bootstrap costs (USD)</t>
  </si>
  <si>
    <t xml:space="preserve">Initial full ingest (Haiku)</t>
  </si>
  <si>
    <t xml:space="preserve">Initial full compile (Sonnet)</t>
  </si>
  <si>
    <t xml:space="preserve">TOTAL bootstrap (one-time)</t>
  </si>
  <si>
    <t xml:space="preserve">Blue = hardcoded input. Green = link from Assumptions sheet. Black = formula. Pricing on the Assumptions sheet is highlighted yellow until confirmed.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</si>
</sst>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60" hidden="false" customHeight="true" outlineLevel="0" collapsed="false">
      <c r="A4" s="4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60" hidden="false" customHeight="true" outlineLevel="0" collapsed="false">
      <c r="A7" s="4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60" hidden="false" customHeight="true" outlineLevel="0" collapsed="false">
      <c r="A10" s="4" t="s">
        <v>6</v>
      </c>
    </row>
    <row r="11" customFormat="false" ht="15" hidden="false" customHeight="false" outlineLevel="0" collapsed="false">
      <c r="A11" s="2"/>
    </row>
    <row r="12" customFormat="false" ht="60" hidden="false" customHeight="true" outlineLevel="0" collapsed="false">
      <c r="A12" s="4" t="s">
        <v>7</v>
      </c>
    </row>
    <row r="13" customFormat="false" ht="15" hidden="false" customHeight="false" outlineLevel="0" collapsed="false">
      <c r="A13" s="2"/>
    </row>
    <row r="14" customFormat="false" ht="60" hidden="false" customHeight="true" outlineLevel="0" collapsed="false">
      <c r="A14" s="4" t="s">
        <v>8</v>
      </c>
    </row>
    <row r="15" customFormat="false" ht="15" hidden="false" customHeight="false" outlineLevel="0" collapsed="false">
      <c r="A15" s="2"/>
    </row>
    <row r="16" customFormat="false" ht="60" hidden="false" customHeight="true" outlineLevel="0" collapsed="false">
      <c r="A16" s="4" t="s">
        <v>9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10</v>
      </c>
    </row>
    <row r="19" customFormat="false" ht="15" hidden="false" customHeight="false" outlineLevel="0" collapsed="false">
      <c r="A19" s="2" t="s">
        <v>11</v>
      </c>
    </row>
    <row r="20" customFormat="false" ht="15" hidden="false" customHeight="false" outlineLevel="0" collapsed="false">
      <c r="A20" s="2" t="s">
        <v>12</v>
      </c>
    </row>
    <row r="21" customFormat="false" ht="15" hidden="false" customHeight="false" outlineLevel="0" collapsed="false">
      <c r="A21" s="2" t="s">
        <v>13</v>
      </c>
    </row>
    <row r="22" customFormat="false" ht="15" hidden="false" customHeight="false" outlineLevel="0" collapsed="false">
      <c r="A22" s="2" t="s">
        <v>14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15</v>
      </c>
    </row>
    <row r="25" customFormat="false" ht="15" hidden="false" customHeight="false" outlineLevel="0" collapsed="false">
      <c r="A25" s="2" t="s">
        <v>16</v>
      </c>
    </row>
    <row r="26" customFormat="false" ht="15" hidden="false" customHeight="false" outlineLevel="0" collapsed="false">
      <c r="A26" s="2" t="s">
        <v>17</v>
      </c>
    </row>
    <row r="27" customFormat="false" ht="15" hidden="false" customHeight="false" outlineLevel="0" collapsed="false">
      <c r="A27" s="2" t="s">
        <v>18</v>
      </c>
    </row>
    <row r="28" customFormat="false" ht="15" hidden="false" customHeight="false" outlineLevel="0" collapsed="false">
      <c r="A28" s="2" t="s">
        <v>19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6" t="s">
        <v>21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22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7" t="s">
        <v>23</v>
      </c>
      <c r="B4" s="7" t="s">
        <v>24</v>
      </c>
      <c r="C4" s="7" t="s">
        <v>25</v>
      </c>
      <c r="D4" s="2"/>
      <c r="E4" s="2"/>
      <c r="F4" s="8" t="s">
        <v>26</v>
      </c>
    </row>
    <row r="5" customFormat="false" ht="15" hidden="false" customHeight="false" outlineLevel="0" collapsed="false">
      <c r="A5" s="3" t="s">
        <v>27</v>
      </c>
      <c r="B5" s="9" t="n">
        <v>1</v>
      </c>
      <c r="C5" s="9" t="n">
        <v>5</v>
      </c>
      <c r="D5" s="2"/>
      <c r="E5" s="2"/>
      <c r="F5" s="5" t="s">
        <v>28</v>
      </c>
    </row>
    <row r="6" customFormat="false" ht="15" hidden="false" customHeight="false" outlineLevel="0" collapsed="false">
      <c r="A6" s="3" t="s">
        <v>29</v>
      </c>
      <c r="B6" s="9" t="n">
        <v>3</v>
      </c>
      <c r="C6" s="9" t="n">
        <v>15</v>
      </c>
      <c r="D6" s="2"/>
      <c r="E6" s="2"/>
      <c r="F6" s="5" t="s">
        <v>30</v>
      </c>
    </row>
    <row r="7" customFormat="false" ht="15" hidden="false" customHeight="false" outlineLevel="0" collapsed="false">
      <c r="A7" s="3" t="s">
        <v>31</v>
      </c>
      <c r="B7" s="9" t="n">
        <v>15</v>
      </c>
      <c r="C7" s="9" t="n">
        <v>75</v>
      </c>
      <c r="D7" s="2"/>
      <c r="E7" s="2"/>
      <c r="F7" s="5" t="s">
        <v>32</v>
      </c>
    </row>
    <row r="8" customFormat="false" ht="15" hidden="false" customHeight="false" outlineLevel="0" collapsed="false">
      <c r="A8" s="2"/>
      <c r="B8" s="2"/>
      <c r="C8" s="2"/>
      <c r="D8" s="2"/>
      <c r="E8" s="2"/>
      <c r="F8" s="2"/>
    </row>
    <row r="9" customFormat="false" ht="15" hidden="false" customHeight="false" outlineLevel="0" collapsed="false">
      <c r="A9" s="3" t="s">
        <v>33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7" t="s">
        <v>34</v>
      </c>
      <c r="B10" s="7" t="s">
        <v>35</v>
      </c>
      <c r="C10" s="7" t="s">
        <v>36</v>
      </c>
      <c r="D10" s="7" t="s">
        <v>37</v>
      </c>
      <c r="E10" s="7" t="s">
        <v>23</v>
      </c>
      <c r="F10" s="2"/>
    </row>
    <row r="11" customFormat="false" ht="15" hidden="false" customHeight="false" outlineLevel="0" collapsed="false">
      <c r="A11" s="2" t="s">
        <v>38</v>
      </c>
      <c r="B11" s="5" t="s">
        <v>39</v>
      </c>
      <c r="C11" s="10" t="n">
        <v>3000</v>
      </c>
      <c r="D11" s="10" t="n">
        <v>300</v>
      </c>
      <c r="E11" s="2" t="s">
        <v>40</v>
      </c>
      <c r="F11" s="2"/>
    </row>
    <row r="12" customFormat="false" ht="15" hidden="false" customHeight="false" outlineLevel="0" collapsed="false">
      <c r="A12" s="2" t="s">
        <v>41</v>
      </c>
      <c r="B12" s="5" t="s">
        <v>42</v>
      </c>
      <c r="C12" s="10" t="n">
        <v>48000</v>
      </c>
      <c r="D12" s="10" t="n">
        <v>5000</v>
      </c>
      <c r="E12" s="2" t="s">
        <v>43</v>
      </c>
      <c r="F12" s="2"/>
    </row>
    <row r="13" customFormat="false" ht="15" hidden="false" customHeight="false" outlineLevel="0" collapsed="false">
      <c r="A13" s="2" t="s">
        <v>44</v>
      </c>
      <c r="B13" s="5" t="s">
        <v>45</v>
      </c>
      <c r="C13" s="10" t="n">
        <v>12000</v>
      </c>
      <c r="D13" s="10" t="n">
        <v>1500</v>
      </c>
      <c r="E13" s="2" t="s">
        <v>43</v>
      </c>
      <c r="F13" s="2"/>
    </row>
    <row r="14" customFormat="false" ht="15" hidden="false" customHeight="false" outlineLevel="0" collapsed="false">
      <c r="A14" s="2" t="s">
        <v>46</v>
      </c>
      <c r="B14" s="5" t="s">
        <v>47</v>
      </c>
      <c r="C14" s="10" t="n">
        <v>3000</v>
      </c>
      <c r="D14" s="10" t="n">
        <v>300</v>
      </c>
      <c r="E14" s="2" t="s">
        <v>43</v>
      </c>
      <c r="F14" s="2"/>
    </row>
    <row r="15" customFormat="false" ht="15" hidden="false" customHeight="false" outlineLevel="0" collapsed="false">
      <c r="A15" s="2" t="s">
        <v>48</v>
      </c>
      <c r="B15" s="5" t="s">
        <v>49</v>
      </c>
      <c r="C15" s="10" t="n">
        <v>200000</v>
      </c>
      <c r="D15" s="10" t="n">
        <v>5000</v>
      </c>
      <c r="E15" s="2" t="s">
        <v>50</v>
      </c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3" t="s">
        <v>51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2" t="s">
        <v>52</v>
      </c>
      <c r="B19" s="11" t="n">
        <v>0.6</v>
      </c>
      <c r="C19" s="2"/>
      <c r="D19" s="2"/>
      <c r="E19" s="2"/>
      <c r="F19" s="5" t="s">
        <v>53</v>
      </c>
    </row>
    <row r="20" customFormat="false" ht="15" hidden="false" customHeight="false" outlineLevel="0" collapsed="false">
      <c r="A20" s="2" t="s">
        <v>54</v>
      </c>
      <c r="B20" s="11" t="n">
        <v>0.02</v>
      </c>
      <c r="C20" s="2"/>
      <c r="D20" s="2"/>
      <c r="E20" s="2"/>
      <c r="F20" s="5" t="s">
        <v>55</v>
      </c>
    </row>
    <row r="21" customFormat="false" ht="15" hidden="false" customHeight="false" outlineLevel="0" collapsed="false">
      <c r="A21" s="2" t="s">
        <v>56</v>
      </c>
      <c r="B21" s="10" t="n">
        <v>7</v>
      </c>
      <c r="C21" s="2"/>
      <c r="D21" s="2"/>
      <c r="E21" s="2"/>
      <c r="F21" s="5" t="s">
        <v>57</v>
      </c>
    </row>
    <row r="22" customFormat="false" ht="15" hidden="false" customHeight="false" outlineLevel="0" collapsed="false">
      <c r="A22" s="2" t="s">
        <v>58</v>
      </c>
      <c r="B22" s="10" t="n">
        <v>1</v>
      </c>
      <c r="C22" s="2"/>
      <c r="D22" s="2"/>
      <c r="E22" s="2"/>
      <c r="F22" s="5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6" t="s">
        <v>60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8" t="s">
        <v>61</v>
      </c>
      <c r="B3" s="7" t="s">
        <v>62</v>
      </c>
      <c r="C3" s="7" t="s">
        <v>63</v>
      </c>
      <c r="D3" s="7" t="s">
        <v>64</v>
      </c>
    </row>
    <row r="4" customFormat="false" ht="15" hidden="false" customHeight="false" outlineLevel="0" collapsed="false">
      <c r="A4" s="2" t="s">
        <v>65</v>
      </c>
      <c r="B4" s="12" t="n">
        <v>100</v>
      </c>
      <c r="C4" s="12" t="n">
        <v>500</v>
      </c>
      <c r="D4" s="12" t="n">
        <v>2000</v>
      </c>
    </row>
    <row r="5" customFormat="false" ht="15" hidden="false" customHeight="false" outlineLevel="0" collapsed="false">
      <c r="A5" s="2" t="s">
        <v>66</v>
      </c>
      <c r="B5" s="13" t="n">
        <f aca="false">B4*Assumptions!$B$19</f>
        <v>60</v>
      </c>
      <c r="C5" s="13" t="n">
        <f aca="false">C4*Assumptions!$B$19</f>
        <v>300</v>
      </c>
      <c r="D5" s="13" t="n">
        <f aca="false">D4*Assumptions!$B$19</f>
        <v>1200</v>
      </c>
    </row>
    <row r="6" customFormat="false" ht="15" hidden="false" customHeight="false" outlineLevel="0" collapsed="false">
      <c r="A6" s="2" t="s">
        <v>67</v>
      </c>
      <c r="B6" s="13" t="n">
        <f aca="false">B4*Assumptions!$B$20</f>
        <v>2</v>
      </c>
      <c r="C6" s="13" t="n">
        <f aca="false">C4*Assumptions!$B$20</f>
        <v>10</v>
      </c>
      <c r="D6" s="13" t="n">
        <f aca="false">D4*Assumptions!$B$20</f>
        <v>40</v>
      </c>
    </row>
    <row r="7" customFormat="false" ht="15" hidden="false" customHeight="false" outlineLevel="0" collapsed="false">
      <c r="A7" s="2" t="s">
        <v>68</v>
      </c>
      <c r="B7" s="12" t="n">
        <v>50</v>
      </c>
      <c r="C7" s="12" t="n">
        <v>150</v>
      </c>
      <c r="D7" s="12" t="n">
        <v>500</v>
      </c>
    </row>
    <row r="8" customFormat="false" ht="15" hidden="false" customHeight="false" outlineLevel="0" collapsed="false">
      <c r="A8" s="2"/>
      <c r="B8" s="2"/>
      <c r="C8" s="2"/>
      <c r="D8" s="2"/>
    </row>
    <row r="9" customFormat="false" ht="15" hidden="false" customHeight="false" outlineLevel="0" collapsed="false">
      <c r="A9" s="3" t="s">
        <v>69</v>
      </c>
      <c r="B9" s="2"/>
      <c r="C9" s="2"/>
      <c r="D9" s="2"/>
    </row>
    <row r="10" customFormat="false" ht="15" hidden="false" customHeight="false" outlineLevel="0" collapsed="false">
      <c r="A10" s="2" t="s">
        <v>70</v>
      </c>
      <c r="B10" s="14" t="n">
        <f aca="false">B6*(Assumptions!$C$11*Assumptions!$B$5+Assumptions!$D$11*Assumptions!$C$5)/1000000</f>
        <v>0.009</v>
      </c>
      <c r="C10" s="14" t="n">
        <f aca="false">C6*(Assumptions!$C$11*Assumptions!$B$5+Assumptions!$D$11*Assumptions!$C$5)/1000000</f>
        <v>0.045</v>
      </c>
      <c r="D10" s="14" t="n">
        <f aca="false">D6*(Assumptions!$C$11*Assumptions!$B$5+Assumptions!$D$11*Assumptions!$C$5)/1000000</f>
        <v>0.18</v>
      </c>
    </row>
    <row r="11" customFormat="false" ht="15" hidden="false" customHeight="false" outlineLevel="0" collapsed="false">
      <c r="A11" s="2" t="s">
        <v>71</v>
      </c>
      <c r="B11" s="14" t="n">
        <f aca="false">B6*(Assumptions!$C$12*Assumptions!$B$6+Assumptions!$D$12*Assumptions!$C$6)/1000000</f>
        <v>0.438</v>
      </c>
      <c r="C11" s="14" t="n">
        <f aca="false">C6*(Assumptions!$C$12*Assumptions!$B$6+Assumptions!$D$12*Assumptions!$C$6)/1000000</f>
        <v>2.19</v>
      </c>
      <c r="D11" s="14" t="n">
        <f aca="false">D6*(Assumptions!$C$12*Assumptions!$B$6+Assumptions!$D$12*Assumptions!$C$6)/1000000</f>
        <v>8.76</v>
      </c>
    </row>
    <row r="12" customFormat="false" ht="15" hidden="false" customHeight="false" outlineLevel="0" collapsed="false">
      <c r="A12" s="2" t="s">
        <v>72</v>
      </c>
      <c r="B12" s="14" t="n">
        <f aca="false">B7*(Assumptions!$C$13*Assumptions!$B$6+Assumptions!$D$13*Assumptions!$C$6)/1000000</f>
        <v>2.925</v>
      </c>
      <c r="C12" s="14" t="n">
        <f aca="false">C7*(Assumptions!$C$13*Assumptions!$B$6+Assumptions!$D$13*Assumptions!$C$6)/1000000</f>
        <v>8.775</v>
      </c>
      <c r="D12" s="14" t="n">
        <f aca="false">D7*(Assumptions!$C$13*Assumptions!$B$6+Assumptions!$D$13*Assumptions!$C$6)/1000000</f>
        <v>29.25</v>
      </c>
    </row>
    <row r="13" customFormat="false" ht="15" hidden="false" customHeight="false" outlineLevel="0" collapsed="false">
      <c r="A13" s="2" t="s">
        <v>73</v>
      </c>
      <c r="B13" s="14" t="n">
        <f aca="false">B5*Assumptions!$B$21*(Assumptions!$C$14*Assumptions!$B$6+Assumptions!$D$14*Assumptions!$C$6)/1000000</f>
        <v>5.67</v>
      </c>
      <c r="C13" s="14" t="n">
        <f aca="false">C5*Assumptions!$B$21*(Assumptions!$C$14*Assumptions!$B$6+Assumptions!$D$14*Assumptions!$C$6)/1000000</f>
        <v>28.35</v>
      </c>
      <c r="D13" s="14" t="n">
        <f aca="false">D5*Assumptions!$B$21*(Assumptions!$C$14*Assumptions!$B$6+Assumptions!$D$14*Assumptions!$C$6)/1000000</f>
        <v>113.4</v>
      </c>
    </row>
    <row r="14" customFormat="false" ht="15" hidden="false" customHeight="false" outlineLevel="0" collapsed="false">
      <c r="A14" s="2" t="s">
        <v>74</v>
      </c>
      <c r="B14" s="14" t="n">
        <f aca="false">Assumptions!$B$22*(Assumptions!$C$15*Assumptions!$B$7+Assumptions!$D$15*Assumptions!$C$7)/1000000</f>
        <v>3.375</v>
      </c>
      <c r="C14" s="14" t="n">
        <f aca="false">Assumptions!$B$22*(Assumptions!$C$15*Assumptions!$B$7+Assumptions!$D$15*Assumptions!$C$7)/1000000</f>
        <v>3.375</v>
      </c>
      <c r="D14" s="14" t="n">
        <f aca="false">Assumptions!$B$22*(Assumptions!$C$15*Assumptions!$B$7+Assumptions!$D$15*Assumptions!$C$7)/1000000</f>
        <v>3.375</v>
      </c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15" t="s">
        <v>75</v>
      </c>
      <c r="B16" s="16" t="n">
        <f aca="false">SUM(B10:B14)</f>
        <v>12.417</v>
      </c>
      <c r="C16" s="16" t="n">
        <f aca="false">SUM(C10:C14)</f>
        <v>42.735</v>
      </c>
      <c r="D16" s="16" t="n">
        <f aca="false">SUM(D10:D14)</f>
        <v>154.965</v>
      </c>
    </row>
    <row r="17" customFormat="false" ht="15" hidden="false" customHeight="false" outlineLevel="0" collapsed="false">
      <c r="A17" s="15" t="s">
        <v>76</v>
      </c>
      <c r="B17" s="17" t="n">
        <f aca="false">B16*52</f>
        <v>645.684</v>
      </c>
      <c r="C17" s="17" t="n">
        <f aca="false">C16*52</f>
        <v>2222.22</v>
      </c>
      <c r="D17" s="17" t="n">
        <f aca="false">D16*52</f>
        <v>8058.18</v>
      </c>
    </row>
    <row r="18" customFormat="false" ht="15" hidden="false" customHeight="false" outlineLevel="0" collapsed="false">
      <c r="A18" s="2"/>
      <c r="B18" s="2"/>
      <c r="C18" s="2"/>
      <c r="D18" s="2"/>
    </row>
    <row r="19" customFormat="false" ht="15" hidden="false" customHeight="false" outlineLevel="0" collapsed="false">
      <c r="A19" s="3" t="s">
        <v>77</v>
      </c>
      <c r="B19" s="2"/>
      <c r="C19" s="2"/>
      <c r="D19" s="2"/>
    </row>
    <row r="20" customFormat="false" ht="15" hidden="false" customHeight="false" outlineLevel="0" collapsed="false">
      <c r="A20" s="2" t="s">
        <v>78</v>
      </c>
      <c r="B20" s="14" t="n">
        <f aca="false">B4*(Assumptions!$C$11*Assumptions!$B$5+Assumptions!$D$11*Assumptions!$C$5)/1000000</f>
        <v>0.45</v>
      </c>
      <c r="C20" s="14" t="n">
        <f aca="false">C4*(Assumptions!$C$11*Assumptions!$B$5+Assumptions!$D$11*Assumptions!$C$5)/1000000</f>
        <v>2.25</v>
      </c>
      <c r="D20" s="14" t="n">
        <f aca="false">D4*(Assumptions!$C$11*Assumptions!$B$5+Assumptions!$D$11*Assumptions!$C$5)/1000000</f>
        <v>9</v>
      </c>
    </row>
    <row r="21" customFormat="false" ht="15" hidden="false" customHeight="false" outlineLevel="0" collapsed="false">
      <c r="A21" s="2" t="s">
        <v>79</v>
      </c>
      <c r="B21" s="18" t="n">
        <f aca="false">B4*(Assumptions!$C$12*Assumptions!$B$6+Assumptions!$D$12*Assumptions!$C$6)/1000000</f>
        <v>21.9</v>
      </c>
      <c r="C21" s="18" t="n">
        <f aca="false">C4*(Assumptions!$C$12*Assumptions!$B$6+Assumptions!$D$12*Assumptions!$C$6)/1000000</f>
        <v>109.5</v>
      </c>
      <c r="D21" s="18" t="n">
        <f aca="false">D4*(Assumptions!$C$12*Assumptions!$B$6+Assumptions!$D$12*Assumptions!$C$6)/1000000</f>
        <v>438</v>
      </c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15" t="s">
        <v>80</v>
      </c>
      <c r="B23" s="17" t="n">
        <f aca="false">SUM(B20:B21)</f>
        <v>22.35</v>
      </c>
      <c r="C23" s="17" t="n">
        <f aca="false">SUM(C20:C21)</f>
        <v>111.75</v>
      </c>
      <c r="D23" s="17" t="n">
        <f aca="false">SUM(D20:D21)</f>
        <v>447</v>
      </c>
    </row>
    <row r="24" customFormat="false" ht="15" hidden="false" customHeight="false" outlineLevel="0" collapsed="false">
      <c r="A24" s="2"/>
      <c r="B24" s="2"/>
      <c r="C24" s="2"/>
      <c r="D24" s="2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false" outlineLevel="0" collapsed="false">
      <c r="A26" s="3" t="s">
        <v>26</v>
      </c>
      <c r="B26" s="2"/>
      <c r="C26" s="2"/>
      <c r="D26" s="2"/>
    </row>
    <row r="27" customFormat="false" ht="15" hidden="false" customHeight="false" outlineLevel="0" collapsed="false">
      <c r="A27" s="5" t="s">
        <v>81</v>
      </c>
      <c r="B27" s="2"/>
      <c r="C27" s="2"/>
      <c r="D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2026-04-22T21:31:39Z</dcterms:created>
  <dc:creator>openpyxl</dc:creator>
  <dc:description/>
  <dc:language>en-US</dc:language>
  <cp:lastModifiedBy/>
  <dcterms:modified xsi:type="dcterms:W3CDTF">2026-04-22T21:31:39Z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